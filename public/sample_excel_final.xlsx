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B5A700C3-A377-48EB-97DB-DB3CA1B430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B4" i="1"/>
</calcChain>
</file>

<file path=xl/sharedStrings.xml><?xml version="1.0" encoding="utf-8"?>
<sst xmlns="http://schemas.openxmlformats.org/spreadsheetml/2006/main" count="39" uniqueCount="35">
  <si>
    <t>Manpower supply for  DMA - Feb'26</t>
  </si>
  <si>
    <t>Sl No.</t>
  </si>
  <si>
    <t>EMP Code</t>
  </si>
  <si>
    <t>Resource Name</t>
  </si>
  <si>
    <t>Date of Joining</t>
  </si>
  <si>
    <t>Bank Account No</t>
  </si>
  <si>
    <t>Designation</t>
  </si>
  <si>
    <t>Category(Internal / T&amp;M)</t>
  </si>
  <si>
    <t>Project Name</t>
  </si>
  <si>
    <t>CTC (Per Month)</t>
  </si>
  <si>
    <t>Gross Amount (Per Month)</t>
  </si>
  <si>
    <t>Billyable Days</t>
  </si>
  <si>
    <t>Base Components (A)</t>
  </si>
  <si>
    <t>Employer's Share of (B)</t>
  </si>
  <si>
    <t>Employee's  Share of</t>
  </si>
  <si>
    <t>Net Credited Amount</t>
  </si>
  <si>
    <t xml:space="preserve">Salary Credited Date </t>
  </si>
  <si>
    <t>Salary Paid</t>
  </si>
  <si>
    <t>Basic</t>
  </si>
  <si>
    <t>HRA</t>
  </si>
  <si>
    <t>other allowance</t>
  </si>
  <si>
    <t>Provident Fund</t>
  </si>
  <si>
    <t>ESIC</t>
  </si>
  <si>
    <t>Professional Tax</t>
  </si>
  <si>
    <t>LWF</t>
  </si>
  <si>
    <t>Gratuity</t>
  </si>
  <si>
    <t>VPF</t>
  </si>
  <si>
    <t>TDS</t>
  </si>
  <si>
    <t>Other recovery</t>
  </si>
  <si>
    <t>Salary Advance</t>
  </si>
  <si>
    <t>John Doe</t>
  </si>
  <si>
    <t>Confidential</t>
  </si>
  <si>
    <t>Business Analyst</t>
  </si>
  <si>
    <t>INTERNAL</t>
  </si>
  <si>
    <t>MahaIT Internal Project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</si>
</sst>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8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selection activeCell="E8" sqref="E8"/>
    </sheetView>
  </sheetViews>
  <sheetFormatPr defaultRowHeight="15"/>
  <sheetData>
    <row r="1" spans="1:30" ht="18.7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6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/>
      <c r="N2" s="4"/>
      <c r="O2" s="4" t="s">
        <v>13</v>
      </c>
      <c r="P2" s="4"/>
      <c r="Q2" s="4"/>
      <c r="R2" s="4"/>
      <c r="S2" s="4"/>
      <c r="T2" s="4" t="s">
        <v>14</v>
      </c>
      <c r="U2" s="4"/>
      <c r="V2" s="4"/>
      <c r="W2" s="4"/>
      <c r="X2" s="4"/>
      <c r="Y2" s="4"/>
      <c r="Z2" s="4"/>
      <c r="AA2" s="4"/>
      <c r="AB2" s="3" t="s">
        <v>15</v>
      </c>
      <c r="AC2" s="3" t="s">
        <v>16</v>
      </c>
      <c r="AD2" s="3" t="s">
        <v>17</v>
      </c>
    </row>
    <row r="3" spans="1:30" ht="45.75">
      <c r="A3" s="7"/>
      <c r="B3" s="3"/>
      <c r="C3" s="3"/>
      <c r="D3" s="3"/>
      <c r="E3" s="3"/>
      <c r="F3" s="3"/>
      <c r="G3" s="3"/>
      <c r="H3" s="3"/>
      <c r="I3" s="4"/>
      <c r="J3" s="4"/>
      <c r="K3" s="4"/>
      <c r="L3" s="1" t="s">
        <v>18</v>
      </c>
      <c r="M3" s="1" t="s">
        <v>19</v>
      </c>
      <c r="N3" s="1" t="s">
        <v>20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25</v>
      </c>
      <c r="T3" s="2" t="s">
        <v>21</v>
      </c>
      <c r="U3" s="2" t="s">
        <v>26</v>
      </c>
      <c r="V3" s="2" t="s">
        <v>22</v>
      </c>
      <c r="W3" s="2" t="s">
        <v>27</v>
      </c>
      <c r="X3" s="2" t="s">
        <v>28</v>
      </c>
      <c r="Y3" s="2" t="s">
        <v>29</v>
      </c>
      <c r="Z3" s="2" t="s">
        <v>24</v>
      </c>
      <c r="AA3" s="2" t="s">
        <v>23</v>
      </c>
      <c r="AB3" s="3"/>
      <c r="AC3" s="3"/>
      <c r="AD3" s="3"/>
    </row>
    <row r="4" spans="1:30" ht="60.75">
      <c r="A4" s="8">
        <v>1</v>
      </c>
      <c r="B4" s="8">
        <v>123456</v>
      </c>
      <c r="C4" s="8" t="s">
        <v>30</v>
      </c>
      <c r="D4" s="9">
        <v>45017</v>
      </c>
      <c r="E4" s="8" t="s">
        <v>31</v>
      </c>
      <c r="F4" s="8" t="s">
        <v>32</v>
      </c>
      <c r="G4" s="8" t="s">
        <v>33</v>
      </c>
      <c r="H4" s="10" t="s">
        <v>34</v>
      </c>
      <c r="I4" s="11">
        <v>120513</v>
      </c>
      <c r="J4" s="11">
        <v>115072</v>
      </c>
      <c r="K4" s="11">
        <v>31</v>
      </c>
      <c r="L4" s="11">
        <v>36154</v>
      </c>
      <c r="M4" s="11">
        <v>18077</v>
      </c>
      <c r="N4" s="11">
        <v>60841</v>
      </c>
      <c r="O4" s="11">
        <v>1800</v>
      </c>
      <c r="P4" s="11">
        <v>0</v>
      </c>
      <c r="Q4" s="11">
        <v>0</v>
      </c>
      <c r="R4" s="11">
        <v>0</v>
      </c>
      <c r="S4" s="11">
        <v>1739</v>
      </c>
      <c r="T4" s="11">
        <v>1800</v>
      </c>
      <c r="U4" s="11">
        <v>0</v>
      </c>
      <c r="V4" s="11">
        <v>0</v>
      </c>
      <c r="W4" s="11">
        <v>6576</v>
      </c>
      <c r="X4" s="11">
        <v>0</v>
      </c>
      <c r="Y4" s="11">
        <v>0</v>
      </c>
      <c r="Z4" s="11">
        <v>0</v>
      </c>
      <c r="AA4" s="11">
        <v>200</v>
      </c>
      <c r="AB4" s="11">
        <f t="shared" ref="AB4" si="0">ROUND(SUM(L4:N4)-SUM(T4:AA4),)</f>
        <v>106496</v>
      </c>
      <c r="AC4" s="12">
        <v>46052</v>
      </c>
      <c r="AD4" s="12">
        <f t="shared" ref="AD4" si="1">AC4</f>
        <v>46052</v>
      </c>
    </row>
  </sheetData>
  <mergeCells count="18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C2:AC3"/>
    <mergeCell ref="AD2:AD3"/>
    <mergeCell ref="J2:J3"/>
    <mergeCell ref="K2:K3"/>
    <mergeCell ref="L2:N2"/>
    <mergeCell ref="O2:S2"/>
    <mergeCell ref="T2:AA2"/>
    <mergeCell ref="AB2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2026-04-14T11:53:05Z</dcterms:created>
  <dcterms:modified xsi:type="dcterms:W3CDTF">2026-04-15T05:41:28Z</dcterms:modified>
  <cp:category/>
  <cp:contentStatus/>
</cp:coreProperties>
</file>